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<sst xmlns="http://schemas.openxmlformats.org/spreadsheetml/2006/main" count="91" uniqueCount="36">
  <si>
    <t xml:space="preserve">timestamp</t>
  </si>
  <si>
    <t xml:space="preserve">lantai</t>
  </si>
  <si>
    <t xml:space="preserve">titik_id</t>
  </si>
  <si>
    <t xml:space="preserve">x_px</t>
  </si>
  <si>
    <t xml:space="preserve">y_px</t>
  </si>
  <si>
    <t xml:space="preserve">slot_waktu</t>
  </si>
  <si>
    <t xml:space="preserve">device</t>
  </si>
  <si>
    <t xml:space="preserve">scan_ke</t>
  </si>
  <si>
    <t xml:space="preserve">ssid</t>
  </si>
  <si>
    <t xml:space="preserve">bssid</t>
  </si>
  <si>
    <t xml:space="preserve">freq_mhz</t>
  </si>
  <si>
    <t xml:space="preserve">channel</t>
  </si>
  <si>
    <t xml:space="preserve">band</t>
  </si>
  <si>
    <t xml:space="preserve">width_mhz</t>
  </si>
  <si>
    <t xml:space="preserve">rssi_dbm</t>
  </si>
  <si>
    <t xml:space="preserve">noise_dbm</t>
  </si>
  <si>
    <t xml:space="preserve">sta_count</t>
  </si>
  <si>
    <t xml:space="preserve">ch_util_pct</t>
  </si>
  <si>
    <t xml:space="preserve">security</t>
  </si>
  <si>
    <t xml:space="preserve">pmf</t>
  </si>
  <si>
    <t xml:space="preserve">catatan</t>
  </si>
  <si>
    <t xml:space="preserve">L3-001</t>
  </si>
  <si>
    <t xml:space="preserve">T0</t>
  </si>
  <si>
    <t xml:space="preserve">laptop-taqiya</t>
  </si>
  <si>
    <t xml:space="preserve">WiFi-UB.x</t>
  </si>
  <si>
    <t xml:space="preserve">e8:10:98:82:0b:40</t>
  </si>
  <si>
    <t xml:space="preserve">WPA2/3-Enterprise</t>
  </si>
  <si>
    <t xml:space="preserve">no</t>
  </si>
  <si>
    <t xml:space="preserve">laptop-maulana</t>
  </si>
  <si>
    <t xml:space="preserve">ponsel-fikri</t>
  </si>
  <si>
    <t xml:space="preserve">Parameter</t>
  </si>
  <si>
    <t xml:space="preserve">RSSI</t>
  </si>
  <si>
    <t xml:space="preserve">Offset</t>
  </si>
  <si>
    <t xml:space="preserve">MEAN surveyor-a</t>
  </si>
  <si>
    <t xml:space="preserve">MEAN validator-a</t>
  </si>
  <si>
    <t xml:space="preserve">MEAN surveyor-b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</si>
</sst>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Th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O26" activeCellId="0" sqref="O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53"/>
    <col collapsed="false" customWidth="true" hidden="false" outlineLevel="0" max="9" min="9" style="0" width="13.76"/>
    <col collapsed="false" customWidth="true" hidden="false" outlineLevel="0" max="10" min="10" style="0" width="23.85"/>
    <col collapsed="false" customWidth="true" hidden="false" outlineLevel="0" max="14" min="14" style="1" width="17.7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Format="false" ht="12.8" hidden="false" customHeight="false" outlineLevel="0" collapsed="false">
      <c r="A2" s="3" t="n">
        <v>46304.321724537</v>
      </c>
      <c r="B2" s="0" t="n">
        <v>3</v>
      </c>
      <c r="C2" s="0" t="s">
        <v>21</v>
      </c>
      <c r="F2" s="0" t="s">
        <v>22</v>
      </c>
      <c r="G2" s="0" t="s">
        <v>23</v>
      </c>
      <c r="H2" s="0" t="n">
        <v>2</v>
      </c>
      <c r="I2" s="0" t="s">
        <v>24</v>
      </c>
      <c r="J2" s="0" t="s">
        <v>25</v>
      </c>
      <c r="K2" s="0" t="n">
        <v>5745</v>
      </c>
      <c r="L2" s="0" t="n">
        <v>149</v>
      </c>
      <c r="M2" s="0" t="n">
        <v>5</v>
      </c>
      <c r="N2" s="0" t="n">
        <v>40</v>
      </c>
      <c r="O2" s="0" t="n">
        <v>-82</v>
      </c>
      <c r="S2" s="0" t="s">
        <v>26</v>
      </c>
      <c r="T2" s="0" t="s">
        <v>27</v>
      </c>
    </row>
    <row r="3" customFormat="false" ht="12.8" hidden="false" customHeight="false" outlineLevel="0" collapsed="false">
      <c r="A3" s="3" t="n">
        <v>46304.3218402778</v>
      </c>
      <c r="B3" s="0" t="n">
        <v>3</v>
      </c>
      <c r="C3" s="0" t="s">
        <v>21</v>
      </c>
      <c r="F3" s="0" t="s">
        <v>22</v>
      </c>
      <c r="G3" s="0" t="s">
        <v>23</v>
      </c>
      <c r="H3" s="0" t="n">
        <v>3</v>
      </c>
      <c r="I3" s="0" t="s">
        <v>24</v>
      </c>
      <c r="J3" s="0" t="s">
        <v>25</v>
      </c>
      <c r="K3" s="0" t="n">
        <v>5745</v>
      </c>
      <c r="L3" s="0" t="n">
        <v>149</v>
      </c>
      <c r="M3" s="0" t="n">
        <v>5</v>
      </c>
      <c r="N3" s="0" t="n">
        <v>40</v>
      </c>
      <c r="O3" s="0" t="n">
        <v>-84</v>
      </c>
      <c r="S3" s="0" t="s">
        <v>26</v>
      </c>
      <c r="T3" s="0" t="s">
        <v>27</v>
      </c>
    </row>
    <row r="4" customFormat="false" ht="12.8" hidden="false" customHeight="false" outlineLevel="0" collapsed="false">
      <c r="A4" s="3" t="n">
        <v>46304.3219444445</v>
      </c>
      <c r="B4" s="0" t="n">
        <v>3</v>
      </c>
      <c r="C4" s="0" t="s">
        <v>21</v>
      </c>
      <c r="F4" s="0" t="s">
        <v>22</v>
      </c>
      <c r="G4" s="0" t="s">
        <v>23</v>
      </c>
      <c r="H4" s="0" t="n">
        <v>4</v>
      </c>
      <c r="I4" s="0" t="s">
        <v>24</v>
      </c>
      <c r="J4" s="0" t="s">
        <v>25</v>
      </c>
      <c r="K4" s="0" t="n">
        <v>5745</v>
      </c>
      <c r="L4" s="0" t="n">
        <v>149</v>
      </c>
      <c r="M4" s="0" t="n">
        <v>5</v>
      </c>
      <c r="N4" s="0" t="n">
        <v>40</v>
      </c>
      <c r="O4" s="0" t="n">
        <v>-86</v>
      </c>
      <c r="S4" s="0" t="s">
        <v>26</v>
      </c>
      <c r="T4" s="0" t="s">
        <v>27</v>
      </c>
    </row>
    <row r="5" customFormat="false" ht="12.8" hidden="false" customHeight="false" outlineLevel="0" collapsed="false">
      <c r="A5" s="3" t="n">
        <v>46304.3220486111</v>
      </c>
      <c r="B5" s="0" t="n">
        <v>3</v>
      </c>
      <c r="C5" s="0" t="s">
        <v>21</v>
      </c>
      <c r="F5" s="0" t="s">
        <v>22</v>
      </c>
      <c r="G5" s="0" t="s">
        <v>23</v>
      </c>
      <c r="H5" s="0" t="n">
        <v>5</v>
      </c>
      <c r="I5" s="0" t="s">
        <v>24</v>
      </c>
      <c r="J5" s="0" t="s">
        <v>25</v>
      </c>
      <c r="K5" s="0" t="n">
        <v>5745</v>
      </c>
      <c r="L5" s="0" t="n">
        <v>149</v>
      </c>
      <c r="M5" s="0" t="n">
        <v>5</v>
      </c>
      <c r="N5" s="0" t="n">
        <v>40</v>
      </c>
      <c r="O5" s="0" t="n">
        <v>-81</v>
      </c>
      <c r="S5" s="0" t="s">
        <v>26</v>
      </c>
      <c r="T5" s="0" t="s">
        <v>27</v>
      </c>
    </row>
    <row r="6" customFormat="false" ht="12.8" hidden="false" customHeight="false" outlineLevel="0" collapsed="false">
      <c r="A6" s="3" t="n">
        <v>46304.3218055556</v>
      </c>
      <c r="B6" s="0" t="n">
        <v>3</v>
      </c>
      <c r="C6" s="0" t="s">
        <v>21</v>
      </c>
      <c r="F6" s="0" t="s">
        <v>22</v>
      </c>
      <c r="G6" s="0" t="s">
        <v>28</v>
      </c>
      <c r="H6" s="0" t="n">
        <v>3</v>
      </c>
      <c r="I6" s="0" t="s">
        <v>24</v>
      </c>
      <c r="J6" s="0" t="s">
        <v>25</v>
      </c>
      <c r="K6" s="0" t="n">
        <v>5745</v>
      </c>
      <c r="L6" s="0" t="n">
        <v>149</v>
      </c>
      <c r="M6" s="0" t="n">
        <v>5</v>
      </c>
      <c r="N6" s="0" t="n">
        <v>40</v>
      </c>
      <c r="O6" s="0" t="n">
        <v>-82</v>
      </c>
      <c r="P6" s="0" t="n">
        <v>-100</v>
      </c>
      <c r="S6" s="0" t="s">
        <v>26</v>
      </c>
      <c r="T6" s="0" t="s">
        <v>27</v>
      </c>
    </row>
    <row r="7" customFormat="false" ht="12.8" hidden="false" customHeight="false" outlineLevel="0" collapsed="false">
      <c r="A7" s="3" t="n">
        <v>46304.321875</v>
      </c>
      <c r="B7" s="0" t="n">
        <v>3</v>
      </c>
      <c r="C7" s="0" t="s">
        <v>21</v>
      </c>
      <c r="F7" s="0" t="s">
        <v>22</v>
      </c>
      <c r="G7" s="0" t="s">
        <v>28</v>
      </c>
      <c r="H7" s="0" t="n">
        <v>4</v>
      </c>
      <c r="I7" s="0" t="s">
        <v>24</v>
      </c>
      <c r="J7" s="0" t="s">
        <v>25</v>
      </c>
      <c r="K7" s="0" t="n">
        <v>5745</v>
      </c>
      <c r="L7" s="0" t="n">
        <v>149</v>
      </c>
      <c r="M7" s="0" t="n">
        <v>5</v>
      </c>
      <c r="N7" s="0" t="n">
        <v>40</v>
      </c>
      <c r="O7" s="0" t="n">
        <v>-82</v>
      </c>
      <c r="P7" s="0" t="n">
        <v>-100</v>
      </c>
      <c r="S7" s="0" t="s">
        <v>26</v>
      </c>
      <c r="T7" s="0" t="s">
        <v>27</v>
      </c>
    </row>
    <row r="8" customFormat="false" ht="12.8" hidden="false" customHeight="false" outlineLevel="0" collapsed="false">
      <c r="A8" s="3" t="n">
        <v>46304.3219444445</v>
      </c>
      <c r="B8" s="0" t="n">
        <v>3</v>
      </c>
      <c r="C8" s="0" t="s">
        <v>21</v>
      </c>
      <c r="F8" s="0" t="s">
        <v>22</v>
      </c>
      <c r="G8" s="0" t="s">
        <v>28</v>
      </c>
      <c r="H8" s="0" t="n">
        <v>5</v>
      </c>
      <c r="I8" s="0" t="s">
        <v>24</v>
      </c>
      <c r="J8" s="0" t="s">
        <v>25</v>
      </c>
      <c r="K8" s="0" t="n">
        <v>5745</v>
      </c>
      <c r="L8" s="0" t="n">
        <v>149</v>
      </c>
      <c r="M8" s="0" t="n">
        <v>5</v>
      </c>
      <c r="N8" s="0" t="n">
        <v>40</v>
      </c>
      <c r="O8" s="0" t="n">
        <v>-83</v>
      </c>
      <c r="P8" s="0" t="n">
        <v>-100</v>
      </c>
      <c r="S8" s="0" t="s">
        <v>26</v>
      </c>
      <c r="T8" s="0" t="s">
        <v>27</v>
      </c>
    </row>
    <row r="9" customFormat="false" ht="12.8" hidden="false" customHeight="false" outlineLevel="0" collapsed="false">
      <c r="A9" s="3" t="n">
        <v>46304.3216898148</v>
      </c>
      <c r="B9" s="0" t="n">
        <v>3</v>
      </c>
      <c r="C9" s="0" t="s">
        <v>21</v>
      </c>
      <c r="F9" s="0" t="s">
        <v>22</v>
      </c>
      <c r="G9" s="0" t="s">
        <v>29</v>
      </c>
      <c r="H9" s="0" t="n">
        <v>1</v>
      </c>
      <c r="I9" s="0" t="s">
        <v>24</v>
      </c>
      <c r="J9" s="0" t="s">
        <v>25</v>
      </c>
      <c r="O9" s="0" t="n">
        <v>-85</v>
      </c>
    </row>
    <row r="10" customFormat="false" ht="12.8" hidden="false" customHeight="false" outlineLevel="0" collapsed="false">
      <c r="A10" s="3" t="n">
        <v>46304.3217824074</v>
      </c>
      <c r="B10" s="0" t="n">
        <v>3</v>
      </c>
      <c r="C10" s="0" t="s">
        <v>21</v>
      </c>
      <c r="F10" s="0" t="s">
        <v>22</v>
      </c>
      <c r="G10" s="0" t="s">
        <v>29</v>
      </c>
      <c r="H10" s="0" t="n">
        <v>3</v>
      </c>
      <c r="I10" s="0" t="s">
        <v>24</v>
      </c>
      <c r="J10" s="0" t="s">
        <v>25</v>
      </c>
      <c r="N10" s="0"/>
      <c r="O10" s="0" t="n">
        <v>-84</v>
      </c>
    </row>
    <row r="11" customFormat="false" ht="12.8" hidden="false" customHeight="false" outlineLevel="0" collapsed="false">
      <c r="A11" s="3" t="n">
        <v>46304.3218171296</v>
      </c>
      <c r="B11" s="0" t="n">
        <v>3</v>
      </c>
      <c r="C11" s="0" t="s">
        <v>21</v>
      </c>
      <c r="F11" s="0" t="s">
        <v>22</v>
      </c>
      <c r="G11" s="0" t="s">
        <v>29</v>
      </c>
      <c r="H11" s="0" t="n">
        <v>4</v>
      </c>
      <c r="I11" s="0" t="s">
        <v>24</v>
      </c>
      <c r="J11" s="0" t="s">
        <v>25</v>
      </c>
      <c r="O11" s="0" t="n">
        <v>-86</v>
      </c>
    </row>
    <row r="12" customFormat="false" ht="12.8" hidden="false" customHeight="false" outlineLevel="0" collapsed="false">
      <c r="A12" s="3"/>
    </row>
    <row r="16" customFormat="false" ht="12.8" hidden="false" customHeight="false" outlineLevel="0" collapsed="false">
      <c r="N16" s="4" t="s">
        <v>30</v>
      </c>
      <c r="O16" s="5" t="s">
        <v>31</v>
      </c>
      <c r="P16" s="5" t="s">
        <v>32</v>
      </c>
    </row>
    <row r="17" customFormat="false" ht="12.8" hidden="false" customHeight="false" outlineLevel="0" collapsed="false">
      <c r="N17" s="4" t="s">
        <v>33</v>
      </c>
      <c r="O17" s="1" t="n">
        <f aca="false">AVERAGEIF($G$2:$G$16,"laptop-taqiya",$O$2:$O$16)</f>
        <v>-83.25</v>
      </c>
      <c r="P17" s="0" t="n">
        <f aca="false">O17-$O$17</f>
        <v>0</v>
      </c>
    </row>
    <row r="18" customFormat="false" ht="12.8" hidden="false" customHeight="false" outlineLevel="0" collapsed="false">
      <c r="N18" s="4" t="s">
        <v>34</v>
      </c>
      <c r="O18" s="1" t="n">
        <f aca="false">AVERAGEIF($G$2:$G$16,"ponsel-fikri",$O$2:$O$16)</f>
        <v>-85</v>
      </c>
      <c r="P18" s="0" t="n">
        <f aca="false">O18-$O$17</f>
        <v>-1.75</v>
      </c>
    </row>
    <row r="19" customFormat="false" ht="12.8" hidden="false" customHeight="false" outlineLevel="0" collapsed="false">
      <c r="N19" s="4" t="s">
        <v>35</v>
      </c>
      <c r="O19" s="1" t="n">
        <f aca="false">AVERAGEIF($G$2:$G$16,"laptop-maulana",$O$2:$O$16)</f>
        <v>-82.3333333333333</v>
      </c>
      <c r="P19" s="0" t="n">
        <f aca="false">O19-$O$17</f>
        <v>0.916666666666671</v>
      </c>
    </row>
    <row r="23" customFormat="false" ht="12.8" hidden="false" customHeight="false" outlineLevel="0" collapsed="false">
      <c r="O23" s="0" t="n">
        <f aca="false">MAX(O17:O20)-MIN(O17:O20)</f>
        <v>2.66666666666667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2026-10-11T15:46:30Z</dcterms:created>
  <dc:creator/>
  <dc:description/>
  <dc:language>id-ID</dc:language>
  <cp:lastModifiedBy/>
  <dcterms:modified xsi:type="dcterms:W3CDTF">2026-10-11T16:30:21Z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